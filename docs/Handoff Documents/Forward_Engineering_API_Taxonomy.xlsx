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ff994ec014b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524c1546a434816"/>
    <x:sheet xmlns:r="http://schemas.openxmlformats.org/officeDocument/2006/relationships" name="API Taxonomy" sheetId="2" r:id="Rbf7f740d3bfd4676"/>
    <x:sheet xmlns:r="http://schemas.openxmlformats.org/officeDocument/2006/relationships" name="Rule Traceability" sheetId="3" r:id="R2fc110a5721546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1F2937"/>
      <x:name val="Aptos"/>
    </x:font>
    <x:font>
      <x:b/>
      <x:sz val="16"/>
      <x:color rgb="FFFFFF"/>
      <x:name val="Aptos Display"/>
    </x:font>
    <x:font>
      <x:i/>
      <x:sz val="10"/>
      <x:color rgb="0C2554"/>
      <x:name val="Aptos"/>
    </x:font>
    <x:font>
      <x:b/>
      <x:sz val="10"/>
      <x:color rgb="FFFFFF"/>
      <x:name val="Aptos"/>
    </x:font>
    <x:font>
      <x:b/>
      <x:sz val="10"/>
      <x:color rgb="0C2554"/>
      <x:name val="Aptos"/>
    </x:font>
    <x:font>
      <x:b/>
      <x:sz val="10"/>
      <x:color rgb="1E73BE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0C2554"/>
      </x:patternFill>
    </x:fill>
    <x:fill>
      <x:patternFill patternType="solid">
        <x:fgColor rgb="EAF3FB"/>
      </x:patternFill>
    </x:fill>
    <x:fill>
      <x:patternFill patternType="solid">
        <x:fgColor rgb="F0A500"/>
      </x:patternFill>
    </x:fill>
    <x:fill>
      <x:patternFill patternType="solid">
        <x:fgColor rgb="FFFFFF"/>
      </x:patternFill>
    </x:fill>
    <x:fill>
      <x:patternFill patternType="solid">
        <x:fgColor rgb="F7FBFF"/>
      </x:patternFill>
    </x:fill>
  </x:fills>
  <x:borders count="20">
    <x:border/>
    <x:border/>
    <x:border>
      <x:right style="thin">
        <x:color rgb="D9E2EF"/>
      </x:right>
      <x:bottom style="thin">
        <x:color rgb="D9E2EF"/>
      </x:bottom>
    </x:border>
    <x:border>
      <x:left style="thin">
        <x:color rgb="D9E2EF"/>
      </x:left>
      <x:right style="thin">
        <x:color rgb="D9E2EF"/>
      </x:right>
      <x:bottom style="thin">
        <x:color rgb="D9E2EF"/>
      </x:bottom>
    </x:border>
    <x:border>
      <x:left style="thin">
        <x:color rgb="D9E2EF"/>
      </x:left>
      <x:bottom style="thin">
        <x:color rgb="D9E2EF"/>
      </x:bottom>
    </x:border>
    <x:border>
      <x:right style="thin">
        <x:color rgb="D9E2EF"/>
      </x:right>
      <x:top style="thin">
        <x:color rgb="D9E2EF"/>
      </x:top>
      <x:bottom style="thin">
        <x:color rgb="D9E2EF"/>
      </x:bottom>
    </x:border>
    <x:border>
      <x:left style="thin">
        <x:color rgb="D9E2EF"/>
      </x:left>
      <x:right style="thin">
        <x:color rgb="D9E2EF"/>
      </x:right>
      <x:top style="thin">
        <x:color rgb="D9E2EF"/>
      </x:top>
      <x:bottom style="thin">
        <x:color rgb="D9E2EF"/>
      </x:bottom>
    </x:border>
    <x:border>
      <x:left style="thin">
        <x:color rgb="D9E2EF"/>
      </x:left>
      <x:top style="thin">
        <x:color rgb="D9E2EF"/>
      </x:top>
      <x:bottom style="thin">
        <x:color rgb="D9E2EF"/>
      </x:bottom>
    </x:border>
    <x:border>
      <x:right style="thin">
        <x:color rgb="D9E2EF"/>
      </x:right>
      <x:top style="thin">
        <x:color rgb="D9E2EF"/>
      </x:top>
    </x:border>
    <x:border>
      <x:left style="thin">
        <x:color rgb="D9E2EF"/>
      </x:left>
      <x:right style="thin">
        <x:color rgb="D9E2EF"/>
      </x:right>
      <x:top style="thin">
        <x:color rgb="D9E2EF"/>
      </x:top>
    </x:border>
    <x:border>
      <x:left style="thin">
        <x:color rgb="D9E2EF"/>
      </x:left>
      <x:top style="thin">
        <x:color rgb="D9E2EF"/>
      </x:top>
    </x:border>
    <x:border>
      <x:right style="thin">
        <x:color rgb="D9E2EF"/>
      </x:right>
      <x:bottom style="thin">
        <x:color rgb="D9E2EF"/>
      </x:bottom>
    </x:border>
    <x:border>
      <x:left style="thin">
        <x:color rgb="D9E2EF"/>
      </x:left>
      <x:right style="thin">
        <x:color rgb="D9E2EF"/>
      </x:right>
      <x:bottom style="thin">
        <x:color rgb="D9E2EF"/>
      </x:bottom>
    </x:border>
    <x:border>
      <x:left style="thin">
        <x:color rgb="D9E2EF"/>
      </x:left>
      <x:bottom style="thin">
        <x:color rgb="D9E2EF"/>
      </x:bottom>
    </x:border>
    <x:border>
      <x:right style="thin">
        <x:color rgb="D9E2EF"/>
      </x:right>
      <x:top style="thin">
        <x:color rgb="D9E2EF"/>
      </x:top>
      <x:bottom style="thin">
        <x:color rgb="D9E2EF"/>
      </x:bottom>
    </x:border>
    <x:border>
      <x:left style="thin">
        <x:color rgb="D9E2EF"/>
      </x:left>
      <x:right style="thin">
        <x:color rgb="D9E2EF"/>
      </x:right>
      <x:top style="thin">
        <x:color rgb="D9E2EF"/>
      </x:top>
      <x:bottom style="thin">
        <x:color rgb="D9E2EF"/>
      </x:bottom>
    </x:border>
    <x:border>
      <x:left style="thin">
        <x:color rgb="D9E2EF"/>
      </x:left>
      <x:top style="thin">
        <x:color rgb="D9E2EF"/>
      </x:top>
      <x:bottom style="thin">
        <x:color rgb="D9E2EF"/>
      </x:bottom>
    </x:border>
    <x:border>
      <x:right style="thin">
        <x:color rgb="D9E2EF"/>
      </x:right>
      <x:top style="thin">
        <x:color rgb="D9E2EF"/>
      </x:top>
    </x:border>
    <x:border>
      <x:left style="thin">
        <x:color rgb="D9E2EF"/>
      </x:left>
      <x:right style="thin">
        <x:color rgb="D9E2EF"/>
      </x:right>
      <x:top style="thin">
        <x:color rgb="D9E2EF"/>
      </x:top>
    </x:border>
    <x:border>
      <x:left style="thin">
        <x:color rgb="D9E2EF"/>
      </x:left>
      <x:top style="thin">
        <x:color rgb="D9E2EF"/>
      </x:top>
    </x:border>
  </x:borders>
  <x:cellStyleXfs count="1">
    <x:xf numFmtId="0" fontId="0" fillId="0" borderId="0"/>
  </x:cellStyleXfs>
  <x:cellXfs count="2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wrapText="1"/>
    </x:xf>
    <x:xf numFmtId="0" fontId="1" fillId="0" borderId="15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0" fontId="1" fillId="0" borderId="18" xfId="0" applyNumberFormat="1" applyFont="1" applyFill="1" applyBorder="1" applyAlignment="1">
      <x:alignment wrapText="1"/>
    </x:xf>
    <x:xf numFmtId="0" fontId="1" fillId="0" borderId="19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17" xfId="0" applyNumberFormat="1" applyFont="1" applyFill="1" applyBorder="1" applyAlignment="1">
      <x:alignment vertical="top" wrapText="1"/>
    </x:xf>
    <x:xf numFmtId="0" fontId="1" fillId="0" borderId="18" xfId="0" applyNumberFormat="1" applyFont="1" applyFill="1" applyBorder="1" applyAlignment="1">
      <x:alignment vertical="top" wrapText="1"/>
    </x:xf>
    <x:xf numFmtId="0" fontId="1" fillId="0" borderId="19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vertical="top" wrapText="1"/>
    </x:xf>
    <x:xf numFmtId="0" fontId="1" fillId="2" borderId="12" xfId="0" applyNumberFormat="1" applyFont="1" applyFill="1" applyBorder="1" applyAlignment="1">
      <x:alignment vertical="top" wrapText="1"/>
    </x:xf>
    <x:xf numFmtId="0" fontId="1" fillId="2" borderId="1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14" xfId="0" applyNumberFormat="1" applyFont="1" applyFill="1" applyBorder="1" applyAlignment="1">
      <x:alignment vertical="top" wrapText="1"/>
    </x:xf>
    <x:xf numFmtId="0" fontId="1" fillId="3" borderId="15" xfId="0" applyNumberFormat="1" applyFont="1" applyFill="1" applyBorder="1" applyAlignment="1">
      <x:alignment vertical="top" wrapText="1"/>
    </x:xf>
    <x:xf numFmtId="0" fontId="1" fillId="3" borderId="16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3" fillId="3" borderId="14" xfId="0" applyNumberFormat="1" applyFont="1" applyFill="1" applyBorder="1" applyAlignment="1">
      <x:alignment vertical="top" wrapText="1"/>
    </x:xf>
    <x:xf numFmtId="0" fontId="3" fillId="3" borderId="15" xfId="0" applyNumberFormat="1" applyFont="1" applyFill="1" applyBorder="1" applyAlignment="1">
      <x:alignment vertical="top" wrapText="1"/>
    </x:xf>
    <x:xf numFmtId="0" fontId="3" fillId="3" borderId="16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vertical="top" wrapText="1"/>
    </x:xf>
    <x:xf numFmtId="0" fontId="1" fillId="2" borderId="14" xfId="0" applyNumberFormat="1" applyFont="1" applyFill="1" applyBorder="1" applyAlignment="1">
      <x:alignment vertical="top" wrapText="1"/>
    </x:xf>
    <x:xf numFmtId="0" fontId="1" fillId="2" borderId="15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vertical="top" wrapText="1"/>
    </x:xf>
    <x:xf numFmtId="0" fontId="1" fillId="2" borderId="16" xfId="0" applyNumberFormat="1" applyFont="1" applyFill="1" applyBorder="1" applyAlignment="1">
      <x:alignment vertical="top" wrapText="1"/>
    </x:xf>
    <x:xf numFmtId="0" fontId="4" fillId="2" borderId="5" xfId="0" applyNumberFormat="1" applyFont="1" applyFill="1" applyBorder="1" applyAlignment="1">
      <x:alignment vertical="top" wrapText="1"/>
    </x:xf>
    <x:xf numFmtId="0" fontId="4" fillId="2" borderId="6" xfId="0" applyNumberFormat="1" applyFont="1" applyFill="1" applyBorder="1" applyAlignment="1">
      <x:alignment vertical="top" wrapText="1"/>
    </x:xf>
    <x:xf numFmtId="0" fontId="4" fillId="2" borderId="14" xfId="0" applyNumberFormat="1" applyFont="1" applyFill="1" applyBorder="1" applyAlignment="1">
      <x:alignment vertical="top" wrapText="1"/>
    </x:xf>
    <x:xf numFmtId="0" fontId="4" fillId="2" borderId="15" xfId="0" applyNumberFormat="1" applyFont="1" applyFill="1" applyBorder="1" applyAlignment="1">
      <x:alignment vertical="top" wrapText="1"/>
    </x:xf>
    <x:xf numFmtId="0" fontId="4" fillId="2" borderId="5" xfId="0" applyNumberFormat="1" applyFont="1" applyFill="1" applyBorder="1" applyAlignment="1">
      <x:alignment horizontal="center" vertical="top" wrapText="1"/>
    </x:xf>
    <x:xf numFmtId="0" fontId="4" fillId="2" borderId="6" xfId="0" applyNumberFormat="1" applyFont="1" applyFill="1" applyBorder="1" applyAlignment="1">
      <x:alignment horizontal="center" vertical="top" wrapText="1"/>
    </x:xf>
    <x:xf numFmtId="0" fontId="4" fillId="2" borderId="14" xfId="0" applyNumberFormat="1" applyFont="1" applyFill="1" applyBorder="1" applyAlignment="1">
      <x:alignment horizontal="center" vertical="top" wrapText="1"/>
    </x:xf>
    <x:xf numFmtId="0" fontId="4" fillId="2" borderId="15" xfId="0" applyNumberFormat="1" applyFont="1" applyFill="1" applyBorder="1" applyAlignment="1">
      <x:alignment horizontal="center" vertical="top" wrapText="1"/>
    </x:xf>
    <x:xf numFmtId="0" fontId="4" fillId="2" borderId="7" xfId="0" applyNumberFormat="1" applyFont="1" applyFill="1" applyBorder="1" applyAlignment="1">
      <x:alignment vertical="top" wrapText="1"/>
    </x:xf>
    <x:xf numFmtId="0" fontId="4" fillId="2" borderId="16" xfId="0" applyNumberFormat="1" applyFont="1" applyFill="1" applyBorder="1" applyAlignment="1">
      <x:alignment vertical="top" wrapText="1"/>
    </x:xf>
    <x:xf numFmtId="0" fontId="4" fillId="2" borderId="7" xfId="0" applyNumberFormat="1" applyFont="1" applyFill="1" applyBorder="1" applyAlignment="1">
      <x:alignment horizontal="center" vertical="top" wrapText="1"/>
    </x:xf>
    <x:xf numFmtId="0" fontId="4" fillId="2" borderId="16" xfId="0" applyNumberFormat="1" applyFont="1" applyFill="1" applyBorder="1" applyAlignment="1">
      <x:alignment horizontal="center"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top" wrapText="1"/>
    </x:xf>
    <x:xf numFmtId="0" fontId="1" fillId="4" borderId="7" xfId="0" applyNumberFormat="1" applyFont="1" applyFill="1" applyBorder="1" applyAlignment="1">
      <x:alignment vertical="top" wrapText="1"/>
    </x:xf>
    <x:xf numFmtId="0" fontId="1" fillId="4" borderId="14" xfId="0" applyNumberFormat="1" applyFont="1" applyFill="1" applyBorder="1" applyAlignment="1">
      <x:alignment vertical="top" wrapText="1"/>
    </x:xf>
    <x:xf numFmtId="0" fontId="1" fillId="4" borderId="15" xfId="0" applyNumberFormat="1" applyFont="1" applyFill="1" applyBorder="1" applyAlignment="1">
      <x:alignment vertical="top" wrapText="1"/>
    </x:xf>
    <x:xf numFmtId="0" fontId="1" fillId="4" borderId="16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5" fillId="4" borderId="7" xfId="0" applyNumberFormat="1" applyFont="1" applyFill="1" applyBorder="1" applyAlignment="1">
      <x:alignment vertical="top" wrapText="1"/>
    </x:xf>
    <x:xf numFmtId="0" fontId="5" fillId="4" borderId="14" xfId="0" applyNumberFormat="1" applyFont="1" applyFill="1" applyBorder="1" applyAlignment="1">
      <x:alignment vertical="top" wrapText="1"/>
    </x:xf>
    <x:xf numFmtId="0" fontId="5" fillId="4" borderId="15" xfId="0" applyNumberFormat="1" applyFont="1" applyFill="1" applyBorder="1" applyAlignment="1">
      <x:alignment vertical="top" wrapText="1"/>
    </x:xf>
    <x:xf numFmtId="0" fontId="5" fillId="4" borderId="16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4" fillId="2" borderId="11" xfId="0" applyNumberFormat="1" applyFont="1" applyFill="1" applyBorder="1" applyAlignment="1">
      <x:alignment vertical="top" wrapText="1"/>
    </x:xf>
    <x:xf numFmtId="0" fontId="4" fillId="2" borderId="12" xfId="0" applyNumberFormat="1" applyFont="1" applyFill="1" applyBorder="1" applyAlignment="1">
      <x:alignment vertical="top" wrapText="1"/>
    </x:xf>
    <x:xf numFmtId="0" fontId="4" fillId="2" borderId="13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11" xfId="0" applyNumberFormat="1" applyFont="1" applyFill="1" applyBorder="1" applyAlignment="1">
      <x:alignment horizontal="center" vertical="top" wrapText="1"/>
    </x:xf>
    <x:xf numFmtId="0" fontId="4" fillId="2" borderId="12" xfId="0" applyNumberFormat="1" applyFont="1" applyFill="1" applyBorder="1" applyAlignment="1">
      <x:alignment horizontal="center" vertical="top" wrapText="1"/>
    </x:xf>
    <x:xf numFmtId="0" fontId="4" fillId="2" borderId="13" xfId="0" applyNumberFormat="1" applyFont="1" applyFill="1" applyBorder="1" applyAlignment="1">
      <x:alignment horizontal="center" vertical="top" wrapText="1"/>
    </x:xf>
    <x:xf numFmtId="0" fontId="1" fillId="0" borderId="5" xfId="0" applyNumberFormat="1" applyFont="1" applyFill="1" applyBorder="1" applyAlignment="1">
      <x:alignment horizontal="left" vertical="top" wrapText="1"/>
    </x:xf>
    <x:xf numFmtId="0" fontId="1" fillId="0" borderId="6" xfId="0" applyNumberFormat="1" applyFont="1" applyFill="1" applyBorder="1" applyAlignment="1">
      <x:alignment horizontal="left" vertical="top" wrapText="1"/>
    </x:xf>
    <x:xf numFmtId="0" fontId="1" fillId="0" borderId="8" xfId="0" applyNumberFormat="1" applyFont="1" applyFill="1" applyBorder="1" applyAlignment="1">
      <x:alignment horizontal="left" vertical="top" wrapText="1"/>
    </x:xf>
    <x:xf numFmtId="0" fontId="1" fillId="0" borderId="9" xfId="0" applyNumberFormat="1" applyFont="1" applyFill="1" applyBorder="1" applyAlignment="1">
      <x:alignment horizontal="left" vertical="top" wrapText="1"/>
    </x:xf>
    <x:xf numFmtId="0" fontId="1" fillId="0" borderId="14" xfId="0" applyNumberFormat="1" applyFont="1" applyFill="1" applyBorder="1" applyAlignment="1">
      <x:alignment horizontal="left" vertical="top" wrapText="1"/>
    </x:xf>
    <x:xf numFmtId="0" fontId="1" fillId="0" borderId="15" xfId="0" applyNumberFormat="1" applyFont="1" applyFill="1" applyBorder="1" applyAlignment="1">
      <x:alignment horizontal="left" vertical="top" wrapText="1"/>
    </x:xf>
    <x:xf numFmtId="0" fontId="1" fillId="0" borderId="17" xfId="0" applyNumberFormat="1" applyFont="1" applyFill="1" applyBorder="1" applyAlignment="1">
      <x:alignment horizontal="left" vertical="top" wrapText="1"/>
    </x:xf>
    <x:xf numFmtId="0" fontId="1" fillId="0" borderId="18" xfId="0" applyNumberFormat="1" applyFont="1" applyFill="1" applyBorder="1" applyAlignment="1">
      <x:alignment horizontal="left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9" xfId="0" applyNumberFormat="1" applyFont="1" applyFill="1" applyBorder="1" applyAlignment="1">
      <x:alignment horizontal="center" vertical="top" wrapText="1"/>
    </x:xf>
    <x:xf numFmtId="0" fontId="1" fillId="0" borderId="15" xfId="0" applyNumberFormat="1" applyFont="1" applyFill="1" applyBorder="1" applyAlignment="1">
      <x:alignment horizontal="center" vertical="top" wrapText="1"/>
    </x:xf>
    <x:xf numFmtId="0" fontId="1" fillId="0" borderId="18" xfId="0" applyNumberFormat="1" applyFont="1" applyFill="1" applyBorder="1" applyAlignment="1">
      <x:alignment horizontal="center" vertical="top" wrapText="1"/>
    </x:xf>
    <x:xf numFmtId="0" fontId="1" fillId="0" borderId="5" xfId="0" applyNumberFormat="1" applyFont="1" applyFill="1" applyBorder="1" applyAlignment="1">
      <x:alignment horizontal="center" vertical="top" wrapText="1"/>
    </x:xf>
    <x:xf numFmtId="0" fontId="1" fillId="0" borderId="8" xfId="0" applyNumberFormat="1" applyFont="1" applyFill="1" applyBorder="1" applyAlignment="1">
      <x:alignment horizontal="center" vertical="top" wrapText="1"/>
    </x:xf>
    <x:xf numFmtId="0" fontId="1" fillId="0" borderId="14" xfId="0" applyNumberFormat="1" applyFont="1" applyFill="1" applyBorder="1" applyAlignment="1">
      <x:alignment horizontal="center" vertical="top" wrapText="1"/>
    </x:xf>
    <x:xf numFmtId="0" fontId="1" fillId="0" borderId="17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left" vertical="top" wrapText="1"/>
    </x:xf>
    <x:xf numFmtId="0" fontId="2" fillId="2" borderId="3" xfId="0" applyNumberFormat="1" applyFont="1" applyFill="1" applyBorder="1" applyAlignment="1">
      <x:alignment horizontal="left" vertical="top" wrapText="1"/>
    </x:xf>
    <x:xf numFmtId="0" fontId="2" fillId="2" borderId="4" xfId="0" applyNumberFormat="1" applyFont="1" applyFill="1" applyBorder="1" applyAlignment="1">
      <x:alignment horizontal="left" vertical="top" wrapText="1"/>
    </x:xf>
    <x:xf numFmtId="0" fontId="2" fillId="2" borderId="11" xfId="0" applyNumberFormat="1" applyFont="1" applyFill="1" applyBorder="1" applyAlignment="1">
      <x:alignment horizontal="left" vertical="top" wrapText="1"/>
    </x:xf>
    <x:xf numFmtId="0" fontId="2" fillId="2" borderId="12" xfId="0" applyNumberFormat="1" applyFont="1" applyFill="1" applyBorder="1" applyAlignment="1">
      <x:alignment horizontal="left" vertical="top" wrapText="1"/>
    </x:xf>
    <x:xf numFmtId="0" fontId="2" fillId="2" borderId="13" xfId="0" applyNumberFormat="1" applyFont="1" applyFill="1" applyBorder="1" applyAlignment="1">
      <x:alignment horizontal="left" vertical="top" wrapText="1"/>
    </x:xf>
    <x:xf numFmtId="0" fontId="2" fillId="2" borderId="2" xfId="0" applyNumberFormat="1" applyFont="1" applyFill="1" applyBorder="1" applyAlignment="1">
      <x:alignment horizontal="left" vertical="center" wrapText="1"/>
    </x:xf>
    <x:xf numFmtId="0" fontId="2" fillId="2" borderId="3" xfId="0" applyNumberFormat="1" applyFont="1" applyFill="1" applyBorder="1" applyAlignment="1">
      <x:alignment horizontal="left" vertical="center" wrapText="1"/>
    </x:xf>
    <x:xf numFmtId="0" fontId="2" fillId="2" borderId="4" xfId="0" applyNumberFormat="1" applyFont="1" applyFill="1" applyBorder="1" applyAlignment="1">
      <x:alignment horizontal="left" vertical="center" wrapText="1"/>
    </x:xf>
    <x:xf numFmtId="0" fontId="2" fillId="2" borderId="11" xfId="0" applyNumberFormat="1" applyFont="1" applyFill="1" applyBorder="1" applyAlignment="1">
      <x:alignment horizontal="left" vertical="center" wrapText="1"/>
    </x:xf>
    <x:xf numFmtId="0" fontId="2" fillId="2" borderId="12" xfId="0" applyNumberFormat="1" applyFont="1" applyFill="1" applyBorder="1" applyAlignment="1">
      <x:alignment horizontal="left" vertical="center" wrapText="1"/>
    </x:xf>
    <x:xf numFmtId="0" fontId="2" fillId="2" borderId="13" xfId="0" applyNumberFormat="1" applyFont="1" applyFill="1" applyBorder="1" applyAlignment="1">
      <x:alignment horizontal="left" vertical="center" wrapText="1"/>
    </x:xf>
    <x:xf numFmtId="0" fontId="2" fillId="2" borderId="2" xfId="0" applyNumberFormat="1" applyFont="1" applyFill="1" applyBorder="1" applyAlignment="1">
      <x:alignment horizontal="left" vertical="center" wrapText="0"/>
    </x:xf>
    <x:xf numFmtId="0" fontId="2" fillId="2" borderId="3" xfId="0" applyNumberFormat="1" applyFont="1" applyFill="1" applyBorder="1" applyAlignment="1">
      <x:alignment horizontal="left" vertical="center" wrapText="0"/>
    </x:xf>
    <x:xf numFmtId="0" fontId="2" fillId="2" borderId="4" xfId="0" applyNumberFormat="1" applyFont="1" applyFill="1" applyBorder="1" applyAlignment="1">
      <x:alignment horizontal="left" vertical="center" wrapText="0"/>
    </x:xf>
    <x:xf numFmtId="0" fontId="2" fillId="2" borderId="11" xfId="0" applyNumberFormat="1" applyFont="1" applyFill="1" applyBorder="1" applyAlignment="1">
      <x:alignment horizontal="left" vertical="center" wrapText="0"/>
    </x:xf>
    <x:xf numFmtId="0" fontId="2" fillId="2" borderId="12" xfId="0" applyNumberFormat="1" applyFont="1" applyFill="1" applyBorder="1" applyAlignment="1">
      <x:alignment horizontal="left" vertical="center" wrapText="0"/>
    </x:xf>
    <x:xf numFmtId="0" fontId="2" fillId="2" borderId="13" xfId="0" applyNumberFormat="1" applyFont="1" applyFill="1" applyBorder="1" applyAlignment="1">
      <x:alignment horizontal="left" vertical="center" wrapText="0"/>
    </x:xf>
    <x:xf numFmtId="0" fontId="5" fillId="4" borderId="5" xfId="0" applyNumberFormat="1" applyFont="1" applyFill="1" applyBorder="1" applyAlignment="1">
      <x:alignment horizontal="left" vertical="top" wrapText="1"/>
    </x:xf>
    <x:xf numFmtId="0" fontId="5" fillId="4" borderId="6" xfId="0" applyNumberFormat="1" applyFont="1" applyFill="1" applyBorder="1" applyAlignment="1">
      <x:alignment horizontal="left" vertical="top" wrapText="1"/>
    </x:xf>
    <x:xf numFmtId="0" fontId="5" fillId="4" borderId="7" xfId="0" applyNumberFormat="1" applyFont="1" applyFill="1" applyBorder="1" applyAlignment="1">
      <x:alignment horizontal="left" vertical="top" wrapText="1"/>
    </x:xf>
    <x:xf numFmtId="0" fontId="5" fillId="4" borderId="14" xfId="0" applyNumberFormat="1" applyFont="1" applyFill="1" applyBorder="1" applyAlignment="1">
      <x:alignment horizontal="left" vertical="top" wrapText="1"/>
    </x:xf>
    <x:xf numFmtId="0" fontId="5" fillId="4" borderId="15" xfId="0" applyNumberFormat="1" applyFont="1" applyFill="1" applyBorder="1" applyAlignment="1">
      <x:alignment horizontal="left" vertical="top" wrapText="1"/>
    </x:xf>
    <x:xf numFmtId="0" fontId="5" fillId="4" borderId="16" xfId="0" applyNumberFormat="1" applyFont="1" applyFill="1" applyBorder="1" applyAlignment="1">
      <x:alignment horizontal="left" vertical="top" wrapText="1"/>
    </x:xf>
    <x:xf numFmtId="0" fontId="5" fillId="4" borderId="5" xfId="0" applyNumberFormat="1" applyFont="1" applyFill="1" applyBorder="1" applyAlignment="1">
      <x:alignment horizontal="left" vertical="center" wrapText="1"/>
    </x:xf>
    <x:xf numFmtId="0" fontId="5" fillId="4" borderId="6" xfId="0" applyNumberFormat="1" applyFont="1" applyFill="1" applyBorder="1" applyAlignment="1">
      <x:alignment horizontal="left" vertical="center" wrapText="1"/>
    </x:xf>
    <x:xf numFmtId="0" fontId="5" fillId="4" borderId="7" xfId="0" applyNumberFormat="1" applyFont="1" applyFill="1" applyBorder="1" applyAlignment="1">
      <x:alignment horizontal="left" vertical="center" wrapText="1"/>
    </x:xf>
    <x:xf numFmtId="0" fontId="5" fillId="4" borderId="14" xfId="0" applyNumberFormat="1" applyFont="1" applyFill="1" applyBorder="1" applyAlignment="1">
      <x:alignment horizontal="left" vertical="center" wrapText="1"/>
    </x:xf>
    <x:xf numFmtId="0" fontId="5" fillId="4" borderId="15" xfId="0" applyNumberFormat="1" applyFont="1" applyFill="1" applyBorder="1" applyAlignment="1">
      <x:alignment horizontal="left" vertical="center" wrapText="1"/>
    </x:xf>
    <x:xf numFmtId="0" fontId="5" fillId="4" borderId="16" xfId="0" applyNumberFormat="1" applyFont="1" applyFill="1" applyBorder="1" applyAlignment="1">
      <x:alignment horizontal="left" vertical="center" wrapText="1"/>
    </x:xf>
    <x:xf numFmtId="0" fontId="1" fillId="5" borderId="5" xfId="0" applyNumberFormat="1" applyFont="1" applyFill="1" applyBorder="1" applyAlignment="1">
      <x:alignment horizontal="left" vertical="top" wrapText="1"/>
    </x:xf>
    <x:xf numFmtId="0" fontId="1" fillId="5" borderId="6" xfId="0" applyNumberFormat="1" applyFont="1" applyFill="1" applyBorder="1" applyAlignment="1">
      <x:alignment horizontal="left"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horizontal="center"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horizontal="left" vertical="top" wrapText="1"/>
    </x:xf>
    <x:xf numFmtId="0" fontId="1" fillId="5" borderId="9" xfId="0" applyNumberFormat="1" applyFont="1" applyFill="1" applyBorder="1" applyAlignment="1">
      <x:alignment horizontal="left" vertical="top" wrapText="1"/>
    </x:xf>
    <x:xf numFmtId="0" fontId="1" fillId="5" borderId="9" xfId="0" applyNumberFormat="1" applyFont="1" applyFill="1" applyBorder="1" applyAlignment="1">
      <x:alignment vertical="top" wrapText="1"/>
    </x:xf>
    <x:xf numFmtId="0" fontId="1" fillId="5" borderId="9" xfId="0" applyNumberFormat="1" applyFont="1" applyFill="1" applyBorder="1" applyAlignment="1">
      <x:alignment horizontal="center" vertical="top" wrapText="1"/>
    </x:xf>
    <x:xf numFmtId="0" fontId="1" fillId="5" borderId="10" xfId="0" applyNumberFormat="1" applyFont="1" applyFill="1" applyBorder="1" applyAlignment="1">
      <x:alignment vertical="top" wrapText="1"/>
    </x:xf>
    <x:xf numFmtId="0" fontId="1" fillId="5" borderId="14" xfId="0" applyNumberFormat="1" applyFont="1" applyFill="1" applyBorder="1" applyAlignment="1">
      <x:alignment horizontal="left" vertical="top" wrapText="1"/>
    </x:xf>
    <x:xf numFmtId="0" fontId="1" fillId="5" borderId="15" xfId="0" applyNumberFormat="1" applyFont="1" applyFill="1" applyBorder="1" applyAlignment="1">
      <x:alignment horizontal="left" vertical="top" wrapText="1"/>
    </x:xf>
    <x:xf numFmtId="0" fontId="1" fillId="5" borderId="15" xfId="0" applyNumberFormat="1" applyFont="1" applyFill="1" applyBorder="1" applyAlignment="1">
      <x:alignment vertical="top" wrapText="1"/>
    </x:xf>
    <x:xf numFmtId="0" fontId="1" fillId="5" borderId="15" xfId="0" applyNumberFormat="1" applyFont="1" applyFill="1" applyBorder="1" applyAlignment="1">
      <x:alignment horizontal="center" vertical="top" wrapText="1"/>
    </x:xf>
    <x:xf numFmtId="0" fontId="1" fillId="5" borderId="16" xfId="0" applyNumberFormat="1" applyFont="1" applyFill="1" applyBorder="1" applyAlignment="1">
      <x:alignment vertical="top" wrapText="1"/>
    </x:xf>
    <x:xf numFmtId="0" fontId="1" fillId="5" borderId="17" xfId="0" applyNumberFormat="1" applyFont="1" applyFill="1" applyBorder="1" applyAlignment="1">
      <x:alignment horizontal="left" vertical="top" wrapText="1"/>
    </x:xf>
    <x:xf numFmtId="0" fontId="1" fillId="5" borderId="18" xfId="0" applyNumberFormat="1" applyFont="1" applyFill="1" applyBorder="1" applyAlignment="1">
      <x:alignment horizontal="left" vertical="top" wrapText="1"/>
    </x:xf>
    <x:xf numFmtId="0" fontId="1" fillId="5" borderId="18" xfId="0" applyNumberFormat="1" applyFont="1" applyFill="1" applyBorder="1" applyAlignment="1">
      <x:alignment vertical="top" wrapText="1"/>
    </x:xf>
    <x:xf numFmtId="0" fontId="1" fillId="5" borderId="18" xfId="0" applyNumberFormat="1" applyFont="1" applyFill="1" applyBorder="1" applyAlignment="1">
      <x:alignment horizontal="center" vertical="top" wrapText="1"/>
    </x:xf>
    <x:xf numFmtId="0" fontId="1" fillId="5" borderId="19" xfId="0" applyNumberFormat="1" applyFont="1" applyFill="1" applyBorder="1" applyAlignment="1">
      <x:alignment vertical="top" wrapText="1"/>
    </x:xf>
    <x:xf numFmtId="0" fontId="1" fillId="6" borderId="5" xfId="0" applyNumberFormat="1" applyFont="1" applyFill="1" applyBorder="1" applyAlignment="1">
      <x:alignment horizontal="left" vertical="top" wrapText="1"/>
    </x:xf>
    <x:xf numFmtId="0" fontId="1" fillId="6" borderId="6" xfId="0" applyNumberFormat="1" applyFont="1" applyFill="1" applyBorder="1" applyAlignment="1">
      <x:alignment horizontal="left"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horizontal="center" vertical="top" wrapText="1"/>
    </x:xf>
    <x:xf numFmtId="0" fontId="1" fillId="6" borderId="7" xfId="0" applyNumberFormat="1" applyFont="1" applyFill="1" applyBorder="1" applyAlignment="1">
      <x:alignment vertical="top" wrapText="1"/>
    </x:xf>
    <x:xf numFmtId="0" fontId="1" fillId="6" borderId="14" xfId="0" applyNumberFormat="1" applyFont="1" applyFill="1" applyBorder="1" applyAlignment="1">
      <x:alignment horizontal="left" vertical="top" wrapText="1"/>
    </x:xf>
    <x:xf numFmtId="0" fontId="1" fillId="6" borderId="15" xfId="0" applyNumberFormat="1" applyFont="1" applyFill="1" applyBorder="1" applyAlignment="1">
      <x:alignment horizontal="left" vertical="top" wrapText="1"/>
    </x:xf>
    <x:xf numFmtId="0" fontId="1" fillId="6" borderId="15" xfId="0" applyNumberFormat="1" applyFont="1" applyFill="1" applyBorder="1" applyAlignment="1">
      <x:alignment vertical="top" wrapText="1"/>
    </x:xf>
    <x:xf numFmtId="0" fontId="1" fillId="6" borderId="15" xfId="0" applyNumberFormat="1" applyFont="1" applyFill="1" applyBorder="1" applyAlignment="1">
      <x:alignment horizontal="center" vertical="top" wrapText="1"/>
    </x:xf>
    <x:xf numFmtId="0" fontId="1" fillId="6" borderId="16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horizontal="left" vertical="top" wrapText="1"/>
    </x:xf>
    <x:xf numFmtId="0" fontId="1" fillId="6" borderId="9" xfId="0" applyNumberFormat="1" applyFont="1" applyFill="1" applyBorder="1" applyAlignment="1">
      <x:alignment horizontal="left" vertical="top" wrapText="1"/>
    </x:xf>
    <x:xf numFmtId="0" fontId="1" fillId="6" borderId="9" xfId="0" applyNumberFormat="1" applyFont="1" applyFill="1" applyBorder="1" applyAlignment="1">
      <x:alignment vertical="top" wrapText="1"/>
    </x:xf>
    <x:xf numFmtId="0" fontId="1" fillId="6" borderId="9" xfId="0" applyNumberFormat="1" applyFont="1" applyFill="1" applyBorder="1" applyAlignment="1">
      <x:alignment horizontal="center" vertical="top" wrapText="1"/>
    </x:xf>
    <x:xf numFmtId="0" fontId="1" fillId="6" borderId="10" xfId="0" applyNumberFormat="1" applyFont="1" applyFill="1" applyBorder="1" applyAlignment="1">
      <x:alignment vertical="top" wrapText="1"/>
    </x:xf>
    <x:xf numFmtId="0" fontId="1" fillId="6" borderId="17" xfId="0" applyNumberFormat="1" applyFont="1" applyFill="1" applyBorder="1" applyAlignment="1">
      <x:alignment horizontal="left" vertical="top" wrapText="1"/>
    </x:xf>
    <x:xf numFmtId="0" fontId="1" fillId="6" borderId="18" xfId="0" applyNumberFormat="1" applyFont="1" applyFill="1" applyBorder="1" applyAlignment="1">
      <x:alignment horizontal="left" vertical="top" wrapText="1"/>
    </x:xf>
    <x:xf numFmtId="0" fontId="1" fillId="6" borderId="18" xfId="0" applyNumberFormat="1" applyFont="1" applyFill="1" applyBorder="1" applyAlignment="1">
      <x:alignment vertical="top" wrapText="1"/>
    </x:xf>
    <x:xf numFmtId="0" fontId="1" fillId="6" borderId="18" xfId="0" applyNumberFormat="1" applyFont="1" applyFill="1" applyBorder="1" applyAlignment="1">
      <x:alignment horizontal="center" vertical="top" wrapText="1"/>
    </x:xf>
    <x:xf numFmtId="0" fontId="1" fillId="6" borderId="19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horizontal="center" vertical="top" wrapText="1"/>
    </x:xf>
    <x:xf numFmtId="0" fontId="1" fillId="5" borderId="8" xfId="0" applyNumberFormat="1" applyFont="1" applyFill="1" applyBorder="1" applyAlignment="1">
      <x:alignment horizontal="center" vertical="top" wrapText="1"/>
    </x:xf>
    <x:xf numFmtId="0" fontId="1" fillId="5" borderId="14" xfId="0" applyNumberFormat="1" applyFont="1" applyFill="1" applyBorder="1" applyAlignment="1">
      <x:alignment horizontal="center" vertical="top" wrapText="1"/>
    </x:xf>
    <x:xf numFmtId="0" fontId="1" fillId="5" borderId="17" xfId="0" applyNumberFormat="1" applyFont="1" applyFill="1" applyBorder="1" applyAlignment="1">
      <x:alignment horizontal="center" vertical="top" wrapText="1"/>
    </x:xf>
    <x:xf numFmtId="0" fontId="1" fillId="6" borderId="5" xfId="0" applyNumberFormat="1" applyFont="1" applyFill="1" applyBorder="1" applyAlignment="1">
      <x:alignment horizontal="center" vertical="top" wrapText="1"/>
    </x:xf>
    <x:xf numFmtId="0" fontId="1" fillId="6" borderId="14" xfId="0" applyNumberFormat="1" applyFont="1" applyFill="1" applyBorder="1" applyAlignment="1">
      <x:alignment horizontal="center" vertical="top" wrapText="1"/>
    </x:xf>
    <x:xf numFmtId="0" fontId="1" fillId="6" borderId="8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8">
    <x:dxf>
      <x:font>
        <x:b/>
        <x:color rgb="1A7A4A"/>
      </x:font>
      <x:fill>
        <x:patternFill patternType="solid">
          <x:bgColor rgb="E9F5EF"/>
        </x:patternFill>
      </x:fill>
    </x:dxf>
    <x:dxf>
      <x:font>
        <x:b/>
        <x:color rgb="1E73BE"/>
      </x:font>
      <x:fill>
        <x:patternFill patternType="solid">
          <x:bgColor rgb="EAF3FB"/>
        </x:patternFill>
      </x:fill>
    </x:dxf>
    <x:dxf>
      <x:font>
        <x:b/>
        <x:color rgb="0C2554"/>
      </x:font>
      <x:fill>
        <x:patternFill patternType="solid">
          <x:bgColor rgb="FFF4D6"/>
        </x:patternFill>
      </x:fill>
    </x:dxf>
    <x:dxf>
      <x:font>
        <x:b/>
        <x:color rgb="0D7377"/>
      </x:font>
      <x:fill>
        <x:patternFill patternType="solid">
          <x:bgColor rgb="E6F4F4"/>
        </x:patternFill>
      </x:fill>
    </x:dxf>
    <x:dxf>
      <x:font>
        <x:b/>
        <x:color rgb="7C4A00"/>
      </x:font>
      <x:fill>
        <x:patternFill patternType="solid">
          <x:bgColor rgb="FFF4D6"/>
        </x:patternFill>
      </x:fill>
    </x:dxf>
    <x:dxf>
      <x:font>
        <x:b/>
        <x:color rgb="1A7A4A"/>
      </x:font>
      <x:fill>
        <x:patternFill patternType="solid">
          <x:bgColor rgb="E9F5EF"/>
        </x:patternFill>
      </x:fill>
    </x:dxf>
    <x:dxf>
      <x:font>
        <x:b/>
        <x:color rgb="0D7377"/>
      </x:font>
      <x:fill>
        <x:patternFill patternType="solid">
          <x:bgColor rgb="E6F4F4"/>
        </x:patternFill>
      </x:fill>
    </x:dxf>
    <x:dxf>
      <x:font>
        <x:b/>
        <x:color rgb="7C4A00"/>
      </x:font>
      <x:fill>
        <x:patternFill patternType="solid">
          <x:bgColor rgb="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5a9f732be148d5" /><Relationship Type="http://schemas.openxmlformats.org/officeDocument/2006/relationships/theme" Target="/xl/theme/theme1.xml" Id="R5268c616249e4dfb" /><Relationship Type="http://schemas.openxmlformats.org/officeDocument/2006/relationships/sharedStrings" Target="/xl/sharedStrings.xml" Id="R1f631f77c59d4a69" /><Relationship Type="http://schemas.openxmlformats.org/officeDocument/2006/relationships/worksheet" Target="/xl/worksheets/sheet1.xml" Id="R8524c1546a434816" /><Relationship Type="http://schemas.openxmlformats.org/officeDocument/2006/relationships/worksheet" Target="/xl/worksheets/sheet2.xml" Id="Rbf7f740d3bfd4676" /><Relationship Type="http://schemas.openxmlformats.org/officeDocument/2006/relationships/worksheet" Target="/xl/worksheets/sheet3.xml" Id="R2fc110a5721546ed" /></Relationships>
</file>

<file path=xl/tables/table1.xml><?xml version="1.0" encoding="utf-8"?>
<x:table xmlns:x="http://schemas.openxmlformats.org/spreadsheetml/2006/main" id="1" name="DomainApiTaxonomy" displayName="DomainApiTaxonomy" ref="A1:R6" headerRowCount="1">
  <x:tableColumns count="18">
    <x:tableColumn id="1" name="Domain"/>
    <x:tableColumn id="2" name="Sub-Domain"/>
    <x:tableColumn id="3" name="Comments"/>
    <x:tableColumn id="4" name="AutomationCandidate"/>
    <x:tableColumn id="5" name="ControllerName"/>
    <x:tableColumn id="6" name="ResourceName"/>
    <x:tableColumn id="7" name="ResourceModel"/>
    <x:tableColumn id="8" name="SubCollectionName"/>
    <x:tableColumn id="9" name="SubCollectionModel"/>
    <x:tableColumn id="10" name="Request"/>
    <x:tableColumn id="11" name="RequestPayload"/>
    <x:tableColumn id="12" name="Response"/>
    <x:tableColumn id="13" name="ResponsePayload"/>
    <x:tableColumn id="14" name="Operation"/>
    <x:tableColumn id="15" name="RequestType"/>
    <x:tableColumn id="16" name="ConnectionType"/>
    <x:tableColumn id="17" name="Path"/>
    <x:tableColumn id="18" name="API Name"/>
  </x:tableColumns>
  <x:tableStyleInfo name="TableStyleMedium2" showRowStripes="1"/>
</x:table>
</file>

<file path=xl/tables/table2.xml><?xml version="1.0" encoding="utf-8"?>
<x:table xmlns:x="http://schemas.openxmlformats.org/spreadsheetml/2006/main" id="2" name="RuleApiTraceability" displayName="RuleApiTraceability" ref="A1:E26" headerRowCount="1">
  <x:tableColumns count="5">
    <x:tableColumn id="1" name="Rule ID"/>
    <x:tableColumn id="2" name="Rule Summary"/>
    <x:tableColumn id="3" name="API Operation"/>
    <x:tableColumn id="4" name="Validation Enforced By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1351b8870849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85d89bf4ac401d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6" hidden="0" customWidth="1"/>
    <x:col min="3" max="3" width="3" hidden="0" customWidth="1"/>
    <x:col min="4" max="4" width="26" hidden="0" customWidth="1"/>
    <x:col min="5" max="5" width="14" hidden="0" customWidth="1"/>
    <x:col min="6" max="6" width="3" hidden="0" customWidth="1"/>
    <x:col min="7" max="7" width="18" hidden="0" customWidth="1"/>
    <x:col min="8" max="8" width="12" hidden="0" customWidth="1"/>
  </x:cols>
  <x:sheetData>
    <x:row r="1" ht="36" hidden="0" customHeight="1">
      <x:c r="A1" s="156" t="str">
        <x:v>Forward Engineering API Taxonomy — Excel Workbook</x:v>
      </x:c>
      <x:c r="B1" s="157" t="str"/>
      <x:c r="C1" s="157" t="str"/>
      <x:c r="D1" s="157" t="str"/>
      <x:c r="E1" s="157" t="str"/>
      <x:c r="F1" s="157" t="str"/>
      <x:c r="G1" s="157" t="str"/>
      <x:c r="H1" s="158" t="str"/>
    </x:row>
    <x:row r="2" ht="34" hidden="0" customHeight="1">
      <x:c r="A2" s="76" t="str">
        <x:v>TrackAllLoanMaintenanceLegacy | Loan Maintenance API taxonomy generated from the uploaded markdown source.</x:v>
      </x:c>
      <x:c r="B2" s="77" t="str"/>
      <x:c r="C2" s="77" t="str"/>
      <x:c r="D2" s="77" t="str"/>
      <x:c r="E2" s="77" t="str"/>
      <x:c r="F2" s="77" t="str"/>
      <x:c r="G2" s="77" t="str"/>
      <x:c r="H2" s="78" t="str"/>
    </x:row>
    <x:row r="3" ht="20" hidden="0" customHeight="1">
      <x:c r="A3" s="43"/>
      <x:c r="B3" s="44"/>
      <x:c r="C3" s="44"/>
      <x:c r="D3" s="44"/>
      <x:c r="E3" s="44"/>
      <x:c r="F3" s="44"/>
      <x:c r="G3" s="44"/>
      <x:c r="H3" s="45"/>
    </x:row>
    <x:row r="4" ht="24" hidden="0" customHeight="1">
      <x:c r="A4" s="92" t="str">
        <x:v>Metric</x:v>
      </x:c>
      <x:c r="B4" s="93" t="str">
        <x:v>Value</x:v>
      </x:c>
      <x:c r="C4" s="44"/>
      <x:c r="D4" s="93" t="str">
        <x:v>Controller</x:v>
      </x:c>
      <x:c r="E4" s="93" t="str">
        <x:v>API Count</x:v>
      </x:c>
      <x:c r="F4" s="44"/>
      <x:c r="G4" s="93" t="str">
        <x:v>Request Type</x:v>
      </x:c>
      <x:c r="H4" s="98" t="str">
        <x:v>Count</x:v>
      </x:c>
    </x:row>
    <x:row r="5" ht="20" hidden="0" customHeight="1">
      <x:c r="A5" s="43" t="str">
        <x:v>API taxonomy rows</x:v>
      </x:c>
      <x:c r="B5" s="112" t="n">
        <x:f>COUNTA('API Taxonomy'!A2:A1000)</x:f>
        <x:v>5</x:v>
      </x:c>
      <x:c r="C5" s="44"/>
      <x:c r="D5" s="44" t="str">
        <x:v>LoanController</x:v>
      </x:c>
      <x:c r="E5" s="112" t="n">
        <x:f>COUNTIF('API Taxonomy'!E:E,D5)</x:f>
        <x:v>3</x:v>
      </x:c>
      <x:c r="F5" s="44"/>
      <x:c r="G5" s="44" t="str">
        <x:v>POST</x:v>
      </x:c>
      <x:c r="H5" s="114" t="n">
        <x:f>COUNTIF('API Taxonomy'!O:O,G5)</x:f>
        <x:v>4</x:v>
      </x:c>
    </x:row>
    <x:row r="6" ht="20" hidden="0" customHeight="1">
      <x:c r="A6" s="43" t="str">
        <x:v>Rule traceability rows</x:v>
      </x:c>
      <x:c r="B6" s="112" t="n">
        <x:f>COUNTA('Rule Traceability'!A2:A1000)</x:f>
        <x:v>25</x:v>
      </x:c>
      <x:c r="C6" s="44"/>
      <x:c r="D6" s="44" t="str">
        <x:v>RatingController</x:v>
      </x:c>
      <x:c r="E6" s="112" t="n">
        <x:f>COUNTIF('API Taxonomy'!E:E,D6)</x:f>
        <x:v>1</x:v>
      </x:c>
      <x:c r="F6" s="44"/>
      <x:c r="G6" s="44" t="str">
        <x:v>PUT</x:v>
      </x:c>
      <x:c r="H6" s="114" t="n">
        <x:f>COUNTIF('API Taxonomy'!O:O,G6)</x:f>
        <x:v>1</x:v>
      </x:c>
    </x:row>
    <x:row r="7" ht="20" hidden="0" customHeight="1">
      <x:c r="A7" s="43" t="str">
        <x:v>Automation candidates</x:v>
      </x:c>
      <x:c r="B7" s="112" t="n">
        <x:f>COUNTIF('API Taxonomy'!D:D,"Y")</x:f>
        <x:v>5</x:v>
      </x:c>
      <x:c r="C7" s="44"/>
      <x:c r="D7" s="44" t="str">
        <x:v>EdiNotificationController</x:v>
      </x:c>
      <x:c r="E7" s="112" t="n">
        <x:f>COUNTIF('API Taxonomy'!E:E,D7)</x:f>
        <x:v>1</x:v>
      </x:c>
      <x:c r="F7" s="44"/>
      <x:c r="G7" s="44"/>
      <x:c r="H7" s="45"/>
    </x:row>
    <x:row r="8" ht="34" hidden="0" customHeight="1">
      <x:c r="A8" s="43" t="str">
        <x:v>Scope</x:v>
      </x:c>
      <x:c r="B8" s="44" t="str">
        <x:v>Loan Search, Add Loan, Modify Loan, Rating, and EDI Notification</x:v>
      </x:c>
      <x:c r="C8" s="44"/>
      <x:c r="D8" s="44"/>
      <x:c r="E8" s="44"/>
      <x:c r="F8" s="44"/>
      <x:c r="G8" s="44"/>
      <x:c r="H8" s="45"/>
    </x:row>
    <x:row r="9" ht="20" hidden="0" customHeight="1">
      <x:c r="A9" s="43"/>
      <x:c r="B9" s="44"/>
      <x:c r="C9" s="44"/>
      <x:c r="D9" s="44"/>
      <x:c r="E9" s="44"/>
      <x:c r="F9" s="44"/>
      <x:c r="G9" s="44"/>
      <x:c r="H9" s="45"/>
    </x:row>
    <x:row r="10" ht="24" hidden="0" customHeight="1">
      <x:c r="A10" s="168" t="str">
        <x:v>Source Notes</x:v>
      </x:c>
      <x:c r="B10" s="169" t="str"/>
      <x:c r="C10" s="169" t="str"/>
      <x:c r="D10" s="169" t="str"/>
      <x:c r="E10" s="169" t="str"/>
      <x:c r="F10" s="169" t="str"/>
      <x:c r="G10" s="169" t="str"/>
      <x:c r="H10" s="170" t="str"/>
    </x:row>
    <x:row r="11" ht="34" hidden="0" customHeight="1">
      <x:c r="A11" s="43" t="str">
        <x:v>Source file</x:v>
      </x:c>
      <x:c r="B11" s="44" t="str">
        <x:v>Forward_Engineering_API_Taxonomy.md</x:v>
      </x:c>
      <x:c r="C11" s="44" t="str"/>
      <x:c r="D11" s="44" t="str"/>
      <x:c r="E11" s="44" t="str"/>
      <x:c r="F11" s="44" t="str"/>
      <x:c r="G11" s="44" t="str"/>
      <x:c r="H11" s="45" t="str"/>
    </x:row>
    <x:row r="12" ht="20" hidden="0" customHeight="1">
      <x:c r="A12" s="43" t="str">
        <x:v>Rules source</x:v>
      </x:c>
      <x:c r="B12" s="44" t="str">
        <x:v>R-L-001 through R-L-025</x:v>
      </x:c>
      <x:c r="C12" s="44" t="str"/>
      <x:c r="D12" s="44" t="str"/>
      <x:c r="E12" s="44" t="str"/>
      <x:c r="F12" s="44" t="str"/>
      <x:c r="G12" s="44" t="str"/>
      <x:c r="H12" s="45" t="str"/>
    </x:row>
    <x:row r="13" ht="20" hidden="0" customHeight="1">
      <x:c r="A13" s="46" t="str">
        <x:v>Generated on</x:v>
      </x:c>
      <x:c r="B13" s="47" t="str">
        <x:v>2026-04-27</x:v>
      </x:c>
      <x:c r="C13" s="47" t="str"/>
      <x:c r="D13" s="47" t="str"/>
      <x:c r="E13" s="47" t="str"/>
      <x:c r="F13" s="47" t="str"/>
      <x:c r="G13" s="47" t="str"/>
      <x:c r="H13" s="48" t="str"/>
    </x:row>
  </x:sheetData>
  <x:mergeCells>
    <x:mergeCell ref="A1:H1"/>
    <x:mergeCell ref="A2:H2"/>
    <x:mergeCell ref="A10:H10"/>
  </x:mergeCells>
  <x:conditionalFormatting sqref="E5:E7">
    <x:cfRule type="dataBar" priority="1">
      <x:dataBar>
        <x:cfvo type="min"/>
        <x:cfvo type="max"/>
        <x:color rgb="1E73BE"/>
      </x:dataBar>
      <x:extLst>
        <x:ext xmlns:x14="http://schemas.microsoft.com/office/spreadsheetml/2009/9/main" uri="{B025F937-C7B1-47D3-B67F-A62EFF666E3E}">
          <x14:id>{8213237C-262D-8CED-9257-E0A72B4BD1FC}</x14:id>
        </x:ext>
      </x:extLst>
    </x:cfRule>
  </x:conditionalFormatting>
  <x:conditionalFormatting sqref="H5:H6">
    <x:cfRule type="dataBar" priority="2">
      <x:dataBar>
        <x:cfvo type="min"/>
        <x:cfvo type="max"/>
        <x:color rgb="F0A500"/>
      </x:dataBar>
      <x:extLst>
        <x:ext xmlns:x14="http://schemas.microsoft.com/office/spreadsheetml/2009/9/main" uri="{B025F937-C7B1-47D3-B67F-A62EFF666E3E}">
          <x14:id>{74327466-E964-C229-8BA0-2CF9360A3A34}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213237C-262D-8CED-9257-E0A72B4BD1FC}">
            <x14:dataBar gradient="1">
              <x14:cfvo type="min"/>
              <x14:cfvo type="max"/>
              <x14:fillColor rgb="1E73BE"/>
            </x14:dataBar>
          </x14:cfRule>
          <xm:sqref>E5:E7</xm:sqref>
        </x14:conditionalFormatting>
        <x14:conditionalFormatting>
          <x14:cfRule type="dataBar" priority="2" id="{74327466-E964-C229-8BA0-2CF9360A3A34}">
            <x14:dataBar gradient="1">
              <x14:cfvo type="min"/>
              <x14:cfvo type="max"/>
              <x14:fillColor rgb="F0A500"/>
            </x14:dataBar>
          </x14:cfRule>
          <xm:sqref>H5:H6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18" hidden="0" customWidth="1"/>
    <x:col min="5" max="5" width="24" hidden="0" customWidth="1"/>
    <x:col min="6" max="6" width="18" hidden="0" customWidth="1"/>
    <x:col min="7" max="7" width="40" hidden="0" customWidth="1"/>
    <x:col min="8" max="8" width="22" hidden="0" customWidth="1"/>
    <x:col min="9" max="9" width="22" hidden="0" customWidth="1"/>
    <x:col min="10" max="10" width="24" hidden="0" customWidth="1"/>
    <x:col min="11" max="11" width="40" hidden="0" customWidth="1"/>
    <x:col min="12" max="12" width="24" hidden="0" customWidth="1"/>
    <x:col min="13" max="13" width="38" hidden="0" customWidth="1"/>
    <x:col min="14" max="14" width="28" hidden="0" customWidth="1"/>
    <x:col min="15" max="15" width="14" hidden="0" customWidth="1"/>
    <x:col min="16" max="16" width="18" hidden="0" customWidth="1"/>
    <x:col min="17" max="17" width="30" hidden="0" customWidth="1"/>
    <x:col min="18" max="18" width="18" hidden="0" customWidth="1"/>
  </x:cols>
  <x:sheetData>
    <x:row r="1" ht="34" customHeight="1">
      <x:c r="A1" s="122" t="str">
        <x:v>Domain</x:v>
      </x:c>
      <x:c r="B1" s="123" t="str">
        <x:v>Sub-Domain</x:v>
      </x:c>
      <x:c r="C1" s="123" t="str">
        <x:v>Comments</x:v>
      </x:c>
      <x:c r="D1" s="123" t="str">
        <x:v>AutomationCandidate</x:v>
      </x:c>
      <x:c r="E1" s="123" t="str">
        <x:v>ControllerName</x:v>
      </x:c>
      <x:c r="F1" s="123" t="str">
        <x:v>ResourceName</x:v>
      </x:c>
      <x:c r="G1" s="123" t="str">
        <x:v>ResourceModel</x:v>
      </x:c>
      <x:c r="H1" s="123" t="str">
        <x:v>SubCollectionName</x:v>
      </x:c>
      <x:c r="I1" s="123" t="str">
        <x:v>SubCollectionModel</x:v>
      </x:c>
      <x:c r="J1" s="123" t="str">
        <x:v>Request</x:v>
      </x:c>
      <x:c r="K1" s="123" t="str">
        <x:v>RequestPayload</x:v>
      </x:c>
      <x:c r="L1" s="123" t="str">
        <x:v>Response</x:v>
      </x:c>
      <x:c r="M1" s="123" t="str">
        <x:v>ResponsePayload</x:v>
      </x:c>
      <x:c r="N1" s="123" t="str">
        <x:v>Operation</x:v>
      </x:c>
      <x:c r="O1" s="123" t="str">
        <x:v>RequestType</x:v>
      </x:c>
      <x:c r="P1" s="123" t="str">
        <x:v>ConnectionType</x:v>
      </x:c>
      <x:c r="Q1" s="123" t="str">
        <x:v>Path</x:v>
      </x:c>
      <x:c r="R1" s="124" t="str">
        <x:v>API Name</x:v>
      </x:c>
    </x:row>
    <x:row r="2" ht="58" customHeight="1">
      <x:c r="A2" s="194" t="str">
        <x:v>Assurant</x:v>
      </x:c>
      <x:c r="B2" s="195" t="str">
        <x:v>Loan Maintenance</x:v>
      </x:c>
      <x:c r="C2" s="196" t="str">
        <x:v>Search loans by criteria; enforces R-L-001,R-L-002,R-L-003,R-L-025</x:v>
      </x:c>
      <x:c r="D2" s="197" t="str">
        <x:v>Y</x:v>
      </x:c>
      <x:c r="E2" s="196" t="str">
        <x:v>LoanController</x:v>
      </x:c>
      <x:c r="F2" s="196" t="str">
        <x:v>Loan</x:v>
      </x:c>
      <x:c r="G2" s="196" t="str">
        <x:v>LoanNum:string,BorrowerName:string,PropertyAddress:string,PropertyState:string,CycleType:string,QuoteReqd:string,EdiFlag:string</x:v>
      </x:c>
      <x:c r="H2" s="196" t="str">
        <x:v>Results</x:v>
      </x:c>
      <x:c r="I2" s="196" t="str">
        <x:v>LoanSummary</x:v>
      </x:c>
      <x:c r="J2" s="196" t="str">
        <x:v>LoanSearchRequest</x:v>
      </x:c>
      <x:c r="K2" s="196" t="str">
        <x:v>LoanNum:string,BorrowerName:string,PropertyAddress:string</x:v>
      </x:c>
      <x:c r="L2" s="196" t="str">
        <x:v>LoanSearchResponse</x:v>
      </x:c>
      <x:c r="M2" s="196" t="str">
        <x:v>Results:List&lt;LoanSummary&gt;</x:v>
      </x:c>
      <x:c r="N2" s="196" t="str">
        <x:v>SearchLoans</x:v>
      </x:c>
      <x:c r="O2" s="197" t="str">
        <x:v>POST</x:v>
      </x:c>
      <x:c r="P2" s="196" t="str">
        <x:v>Tandem SQL/MP</x:v>
      </x:c>
      <x:c r="Q2" s="196" t="str">
        <x:v>/api/loans/search</x:v>
      </x:c>
      <x:c r="R2" s="178" t="str"/>
    </x:row>
    <x:row r="3" ht="58" customHeight="1">
      <x:c r="A3" s="174" t="str">
        <x:v>Assurant</x:v>
      </x:c>
      <x:c r="B3" s="175" t="str">
        <x:v>Loan Maintenance</x:v>
      </x:c>
      <x:c r="C3" s="176" t="str">
        <x:v>Add loan record; enforces R-L-013..R-L-020,R-L-025</x:v>
      </x:c>
      <x:c r="D3" s="177" t="str">
        <x:v>Y</x:v>
      </x:c>
      <x:c r="E3" s="176" t="str">
        <x:v>LoanController</x:v>
      </x:c>
      <x:c r="F3" s="176" t="str">
        <x:v>Loan</x:v>
      </x:c>
      <x:c r="G3" s="176" t="str">
        <x:v>LoanNum:string,BorrowerName:string,PropertyAddress:string,PropertyType:string,PropertyValue:int,LoanStatus:string,Upb:long</x:v>
      </x:c>
      <x:c r="H3" s="176" t="str"/>
      <x:c r="I3" s="176" t="str"/>
      <x:c r="J3" s="176" t="str">
        <x:v>AddLoanRequest</x:v>
      </x:c>
      <x:c r="K3" s="176" t="str">
        <x:v>LoanNum:string,BorrowerName:string,PropertyAddress:string,PropertyType:string,PropertyValue:int,LoanStatus:string,Upb:long</x:v>
      </x:c>
      <x:c r="L3" s="176" t="str">
        <x:v>AddLoanResponse</x:v>
      </x:c>
      <x:c r="M3" s="176" t="str">
        <x:v>LoanNum:string,StatusCode:string,Message:string</x:v>
      </x:c>
      <x:c r="N3" s="176" t="str">
        <x:v>AddLoan</x:v>
      </x:c>
      <x:c r="O3" s="177" t="str">
        <x:v>POST</x:v>
      </x:c>
      <x:c r="P3" s="176" t="str">
        <x:v>Tandem SQL/MP</x:v>
      </x:c>
      <x:c r="Q3" s="176" t="str">
        <x:v>/api/loans</x:v>
      </x:c>
      <x:c r="R3" s="178" t="str"/>
    </x:row>
    <x:row r="4" ht="58" customHeight="1">
      <x:c r="A4" s="194" t="str">
        <x:v>Assurant</x:v>
      </x:c>
      <x:c r="B4" s="195" t="str">
        <x:v>Loan Maintenance</x:v>
      </x:c>
      <x:c r="C4" s="196" t="str">
        <x:v>Modify existing loan; enforces R-L-021..R-L-024,R-L-025</x:v>
      </x:c>
      <x:c r="D4" s="197" t="str">
        <x:v>Y</x:v>
      </x:c>
      <x:c r="E4" s="196" t="str">
        <x:v>LoanController</x:v>
      </x:c>
      <x:c r="F4" s="196" t="str">
        <x:v>Loan</x:v>
      </x:c>
      <x:c r="G4" s="196" t="str">
        <x:v>LoanNum:string,BorrowerName:string,PropertyAddress:string,LoanStatus:string,Upb:long,PropertyValue:int</x:v>
      </x:c>
      <x:c r="H4" s="196" t="str"/>
      <x:c r="I4" s="196" t="str"/>
      <x:c r="J4" s="196" t="str">
        <x:v>ModifyLoanRequest</x:v>
      </x:c>
      <x:c r="K4" s="196" t="str">
        <x:v>BorrowerName:string,PropertyAddress:string,LoanStatus:string,Upb:long,PropertyValue:int</x:v>
      </x:c>
      <x:c r="L4" s="196" t="str">
        <x:v>ModifyLoanResponse</x:v>
      </x:c>
      <x:c r="M4" s="196" t="str">
        <x:v>LoanNum:string,RowsUpdated:int,StatusCode:string</x:v>
      </x:c>
      <x:c r="N4" s="196" t="str">
        <x:v>ModifyLoan</x:v>
      </x:c>
      <x:c r="O4" s="197" t="str">
        <x:v>PUT</x:v>
      </x:c>
      <x:c r="P4" s="196" t="str">
        <x:v>Tandem SQL/MP</x:v>
      </x:c>
      <x:c r="Q4" s="196" t="str">
        <x:v>/api/loans/{loanNum}</x:v>
      </x:c>
      <x:c r="R4" s="178" t="str"/>
    </x:row>
    <x:row r="5" ht="58" customHeight="1">
      <x:c r="A5" s="174" t="str">
        <x:v>Assurant</x:v>
      </x:c>
      <x:c r="B5" s="175" t="str">
        <x:v>Loan Maintenance</x:v>
      </x:c>
      <x:c r="C5" s="176" t="str">
        <x:v>Get quote branch output; enforces R-L-004..R-L-007</x:v>
      </x:c>
      <x:c r="D5" s="177" t="str">
        <x:v>Y</x:v>
      </x:c>
      <x:c r="E5" s="176" t="str">
        <x:v>RatingController</x:v>
      </x:c>
      <x:c r="F5" s="176" t="str">
        <x:v>PremiumQuote</x:v>
      </x:c>
      <x:c r="G5" s="176" t="str">
        <x:v>LoanNum:string,PropertyState:string,CoverageType:string,PropertyValue:int,AnnualPremium:decimal</x:v>
      </x:c>
      <x:c r="H5" s="176" t="str"/>
      <x:c r="I5" s="176" t="str"/>
      <x:c r="J5" s="176" t="str">
        <x:v>RatingQuoteRequest</x:v>
      </x:c>
      <x:c r="K5" s="176" t="str">
        <x:v>LoanNum:string,PropertyState:string,CoverageType:string,PropertyValue:int</x:v>
      </x:c>
      <x:c r="L5" s="176" t="str">
        <x:v>RatingQuoteResponse</x:v>
      </x:c>
      <x:c r="M5" s="176" t="str">
        <x:v>AnnualPremium:decimal,Currency:string,QuoteStatus:string</x:v>
      </x:c>
      <x:c r="N5" s="176" t="str">
        <x:v>GetPremiumQuote</x:v>
      </x:c>
      <x:c r="O5" s="177" t="str">
        <x:v>POST</x:v>
      </x:c>
      <x:c r="P5" s="176" t="str">
        <x:v>External Service</x:v>
      </x:c>
      <x:c r="Q5" s="176" t="str">
        <x:v>/api/quotes/rating</x:v>
      </x:c>
      <x:c r="R5" s="178" t="str"/>
    </x:row>
    <x:row r="6" ht="58" customHeight="1">
      <x:c r="A6" s="204" t="str">
        <x:v>Assurant</x:v>
      </x:c>
      <x:c r="B6" s="205" t="str">
        <x:v>Loan Maintenance</x:v>
      </x:c>
      <x:c r="C6" s="206" t="str">
        <x:v>Dispatch 14E and audit payload; enforces R-L-008..R-L-012,R-L-025</x:v>
      </x:c>
      <x:c r="D6" s="207" t="str">
        <x:v>Y</x:v>
      </x:c>
      <x:c r="E6" s="206" t="str">
        <x:v>EdiNotificationController</x:v>
      </x:c>
      <x:c r="F6" s="206" t="str">
        <x:v>EdiNotification</x:v>
      </x:c>
      <x:c r="G6" s="206" t="str">
        <x:v>LoanNum:string,FormId:string,FciCode:string,CycleType:string,EdiFlag:string</x:v>
      </x:c>
      <x:c r="H6" s="206" t="str"/>
      <x:c r="I6" s="206" t="str"/>
      <x:c r="J6" s="206" t="str">
        <x:v>Edi14eRequest</x:v>
      </x:c>
      <x:c r="K6" s="206" t="str">
        <x:v>LoanNum:string,FormId:string,FciCode:string,CycleType:string,EdiFlag:string</x:v>
      </x:c>
      <x:c r="L6" s="206" t="str">
        <x:v>Edi14eResponse</x:v>
      </x:c>
      <x:c r="M6" s="206" t="str">
        <x:v>DispatchStatus:string,SuppressionReason:string,AuditCount:int</x:v>
      </x:c>
      <x:c r="N6" s="206" t="str">
        <x:v>Dispatch14ENotification</x:v>
      </x:c>
      <x:c r="O6" s="207" t="str">
        <x:v>POST</x:v>
      </x:c>
      <x:c r="P6" s="206" t="str">
        <x:v>Tandem SQL/MP</x:v>
      </x:c>
      <x:c r="Q6" s="206" t="str">
        <x:v>/api/edi/notifications/14e</x:v>
      </x:c>
      <x:c r="R6" s="183" t="str"/>
    </x:row>
  </x:sheetData>
  <x:conditionalFormatting sqref="D2:D6">
    <x:cfRule type="containsText" dxfId="0" priority="1" operator="containsText" text="Y"/>
  </x:conditionalFormatting>
  <x:conditionalFormatting sqref="O2:O6">
    <x:cfRule type="containsText" dxfId="1" priority="2" operator="containsText" text="POST"/>
    <x:cfRule type="containsText" dxfId="2" priority="3" operator="containsText" text="PUT"/>
  </x:conditionalFormatting>
  <x:conditionalFormatting sqref="P2:P6">
    <x:cfRule type="containsText" dxfId="3" priority="4" operator="containsText" text="Tandem"/>
    <x:cfRule type="containsText" dxfId="4" priority="5" operator="containsText" text="External"/>
  </x:conditionalFormatting>
  <x:dataValidations count="3">
    <x:dataValidation type="list" allowBlank="1" showDropDown="0" sqref="D2:D6">
      <x:formula1>"Y,N"</x:formula1>
    </x:dataValidation>
    <x:dataValidation type="list" allowBlank="0" showDropDown="0" sqref="O2:O6">
      <x:formula1>"GET,POST,PUT,PATCH,DELETE"</x:formula1>
    </x:dataValidation>
    <x:dataValidation type="list" allowBlank="1" showDropDown="0" sqref="P2:P6">
      <x:formula1>"Tandem SQL/MP,External Service,Azure SQL,REST API"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1351b88708497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34" hidden="0" customWidth="1"/>
    <x:col min="4" max="4" width="24" hidden="0" customWidth="1"/>
    <x:col min="5" max="5" width="42" hidden="0" customWidth="1"/>
  </x:cols>
  <x:sheetData>
    <x:row r="1" ht="32" customHeight="1">
      <x:c r="A1" s="122" t="str">
        <x:v>Rule ID</x:v>
      </x:c>
      <x:c r="B1" s="123" t="str">
        <x:v>Rule Summary</x:v>
      </x:c>
      <x:c r="C1" s="123" t="str">
        <x:v>API Operation</x:v>
      </x:c>
      <x:c r="D1" s="123" t="str">
        <x:v>Validation Enforced By</x:v>
      </x:c>
      <x:c r="E1" s="124" t="str">
        <x:v>Notes</x:v>
      </x:c>
    </x:row>
    <x:row r="2" ht="42" customHeight="1">
      <x:c r="A2" s="218" t="str">
        <x:v>R-L-001</x:v>
      </x:c>
      <x:c r="B2" s="196" t="str">
        <x:v>At least one search criterion required</x:v>
      </x:c>
      <x:c r="C2" s="196" t="str">
        <x:v>SearchLoans</x:v>
      </x:c>
      <x:c r="D2" s="197" t="str">
        <x:v>UI + API</x:v>
      </x:c>
      <x:c r="E2" s="198" t="str">
        <x:v>Pre-submit and server validation</x:v>
      </x:c>
    </x:row>
    <x:row r="3" ht="42" customHeight="1">
      <x:c r="A3" s="214" t="str">
        <x:v>R-L-002</x:v>
      </x:c>
      <x:c r="B3" s="176" t="str">
        <x:v>Search loan number format</x:v>
      </x:c>
      <x:c r="C3" s="176" t="str">
        <x:v>SearchLoans</x:v>
      </x:c>
      <x:c r="D3" s="177" t="str">
        <x:v>UI + API</x:v>
      </x:c>
      <x:c r="E3" s="178" t="str">
        <x:v>10-digit numeric</x:v>
      </x:c>
    </x:row>
    <x:row r="4" ht="42" customHeight="1">
      <x:c r="A4" s="218" t="str">
        <x:v>R-L-003</x:v>
      </x:c>
      <x:c r="B4" s="196" t="str">
        <x:v>Property address standalone search</x:v>
      </x:c>
      <x:c r="C4" s="196" t="str">
        <x:v>SearchLoans</x:v>
      </x:c>
      <x:c r="D4" s="197" t="str">
        <x:v>API</x:v>
      </x:c>
      <x:c r="E4" s="198" t="str">
        <x:v>Address-only accepted</x:v>
      </x:c>
    </x:row>
    <x:row r="5" ht="42" customHeight="1">
      <x:c r="A5" s="214" t="str">
        <x:v>R-L-004</x:v>
      </x:c>
      <x:c r="B5" s="176" t="str">
        <x:v>Quote required gate</x:v>
      </x:c>
      <x:c r="C5" s="176" t="str">
        <x:v>GetPremiumQuote</x:v>
      </x:c>
      <x:c r="D5" s="177" t="str">
        <x:v>API</x:v>
      </x:c>
      <x:c r="E5" s="178" t="str">
        <x:v>Triggered by QUOTE_REQD</x:v>
      </x:c>
    </x:row>
    <x:row r="6" ht="42" customHeight="1">
      <x:c r="A6" s="218" t="str">
        <x:v>R-L-005</x:v>
      </x:c>
      <x:c r="B6" s="196" t="str">
        <x:v>Approved-state rating eligibility</x:v>
      </x:c>
      <x:c r="C6" s="196" t="str">
        <x:v>GetPremiumQuote</x:v>
      </x:c>
      <x:c r="D6" s="197" t="str">
        <x:v>API</x:v>
      </x:c>
      <x:c r="E6" s="198" t="str">
        <x:v>Carrier eligibility</x:v>
      </x:c>
    </x:row>
    <x:row r="7" ht="42" customHeight="1">
      <x:c r="A7" s="214" t="str">
        <x:v>R-L-006</x:v>
      </x:c>
      <x:c r="B7" s="176" t="str">
        <x:v>Kentucky ISO pre-call</x:v>
      </x:c>
      <x:c r="C7" s="176" t="str">
        <x:v>GetPremiumQuote</x:v>
      </x:c>
      <x:c r="D7" s="177" t="str">
        <x:v>External</x:v>
      </x:c>
      <x:c r="E7" s="178" t="str">
        <x:v>AIP930 dependency</x:v>
      </x:c>
    </x:row>
    <x:row r="8" ht="42" customHeight="1">
      <x:c r="A8" s="218" t="str">
        <x:v>R-L-007</x:v>
      </x:c>
      <x:c r="B8" s="196" t="str">
        <x:v>Positive property value for quote</x:v>
      </x:c>
      <x:c r="C8" s="196" t="str">
        <x:v>GetPremiumQuote</x:v>
      </x:c>
      <x:c r="D8" s="197" t="str">
        <x:v>API</x:v>
      </x:c>
      <x:c r="E8" s="198" t="str">
        <x:v>Reject non-positive</x:v>
      </x:c>
    </x:row>
    <x:row r="9" ht="42" customHeight="1">
      <x:c r="A9" s="214" t="str">
        <x:v>R-L-008</x:v>
      </x:c>
      <x:c r="B9" s="176" t="str">
        <x:v>EDI flag must be Y</x:v>
      </x:c>
      <x:c r="C9" s="176" t="str">
        <x:v>Dispatch14ENotification</x:v>
      </x:c>
      <x:c r="D9" s="177" t="str">
        <x:v>API</x:v>
      </x:c>
      <x:c r="E9" s="178" t="str">
        <x:v>Eligibility check</x:v>
      </x:c>
    </x:row>
    <x:row r="10" ht="42" customHeight="1">
      <x:c r="A10" s="218" t="str">
        <x:v>R-L-009</x:v>
      </x:c>
      <x:c r="B10" s="196" t="str">
        <x:v>Instant Issue suppresses 14E</x:v>
      </x:c>
      <x:c r="C10" s="196" t="str">
        <x:v>Dispatch14ENotification</x:v>
      </x:c>
      <x:c r="D10" s="197" t="str">
        <x:v>API</x:v>
      </x:c>
      <x:c r="E10" s="198" t="str">
        <x:v>Suppressed state</x:v>
      </x:c>
    </x:row>
    <x:row r="11" ht="42" customHeight="1">
      <x:c r="A11" s="214" t="str">
        <x:v>R-L-010</x:v>
      </x:c>
      <x:c r="B11" s="176" t="str">
        <x:v>Form ID must be registered</x:v>
      </x:c>
      <x:c r="C11" s="176" t="str">
        <x:v>Dispatch14ENotification</x:v>
      </x:c>
      <x:c r="D11" s="177" t="str">
        <x:v>API</x:v>
      </x:c>
      <x:c r="E11" s="178" t="str">
        <x:v>Lender target list</x:v>
      </x:c>
    </x:row>
    <x:row r="12" ht="42" customHeight="1">
      <x:c r="A12" s="218" t="str">
        <x:v>R-L-011</x:v>
      </x:c>
      <x:c r="B12" s="196" t="str">
        <x:v>Format by FCI prefix</x:v>
      </x:c>
      <x:c r="C12" s="196" t="str">
        <x:v>Dispatch14ENotification</x:v>
      </x:c>
      <x:c r="D12" s="197" t="str">
        <x:v>API</x:v>
      </x:c>
      <x:c r="E12" s="198" t="str">
        <x:v>BK vs SSP format</x:v>
      </x:c>
    </x:row>
    <x:row r="13" ht="42" customHeight="1">
      <x:c r="A13" s="214" t="str">
        <x:v>R-L-012</x:v>
      </x:c>
      <x:c r="B13" s="176" t="str">
        <x:v>Include audit payload</x:v>
      </x:c>
      <x:c r="C13" s="176" t="str">
        <x:v>Dispatch14ENotification</x:v>
      </x:c>
      <x:c r="D13" s="177" t="str">
        <x:v>API</x:v>
      </x:c>
      <x:c r="E13" s="178" t="str">
        <x:v>Mandatory audit payload</x:v>
      </x:c>
    </x:row>
    <x:row r="14" ht="42" customHeight="1">
      <x:c r="A14" s="218" t="str">
        <x:v>R-L-013</x:v>
      </x:c>
      <x:c r="B14" s="196" t="str">
        <x:v>Add requires loan number and borrower</x:v>
      </x:c>
      <x:c r="C14" s="196" t="str">
        <x:v>AddLoan</x:v>
      </x:c>
      <x:c r="D14" s="197" t="str">
        <x:v>API</x:v>
      </x:c>
      <x:c r="E14" s="198" t="str">
        <x:v>Required fields</x:v>
      </x:c>
    </x:row>
    <x:row r="15" ht="42" customHeight="1">
      <x:c r="A15" s="214" t="str">
        <x:v>R-L-014</x:v>
      </x:c>
      <x:c r="B15" s="176" t="str">
        <x:v>Add loan number format</x:v>
      </x:c>
      <x:c r="C15" s="176" t="str">
        <x:v>AddLoan</x:v>
      </x:c>
      <x:c r="D15" s="177" t="str">
        <x:v>API</x:v>
      </x:c>
      <x:c r="E15" s="178" t="str">
        <x:v>10-digit numeric</x:v>
      </x:c>
    </x:row>
    <x:row r="16" ht="42" customHeight="1">
      <x:c r="A16" s="218" t="str">
        <x:v>R-L-015</x:v>
      </x:c>
      <x:c r="B16" s="196" t="str">
        <x:v>Add property value &gt; 0</x:v>
      </x:c>
      <x:c r="C16" s="196" t="str">
        <x:v>AddLoan</x:v>
      </x:c>
      <x:c r="D16" s="197" t="str">
        <x:v>API</x:v>
      </x:c>
      <x:c r="E16" s="198" t="str">
        <x:v>Numeric constraint</x:v>
      </x:c>
    </x:row>
    <x:row r="17" ht="42" customHeight="1">
      <x:c r="A17" s="214" t="str">
        <x:v>R-L-016</x:v>
      </x:c>
      <x:c r="B17" s="176" t="str">
        <x:v>Add property address required</x:v>
      </x:c>
      <x:c r="C17" s="176" t="str">
        <x:v>AddLoan</x:v>
      </x:c>
      <x:c r="D17" s="177" t="str">
        <x:v>API</x:v>
      </x:c>
      <x:c r="E17" s="178" t="str">
        <x:v>Required field</x:v>
      </x:c>
    </x:row>
    <x:row r="18" ht="42" customHeight="1">
      <x:c r="A18" s="218" t="str">
        <x:v>R-L-017</x:v>
      </x:c>
      <x:c r="B18" s="196" t="str">
        <x:v>Add initial status ACTIVE</x:v>
      </x:c>
      <x:c r="C18" s="196" t="str">
        <x:v>AddLoan</x:v>
      </x:c>
      <x:c r="D18" s="197" t="str">
        <x:v>API</x:v>
      </x:c>
      <x:c r="E18" s="198" t="str">
        <x:v>State constraint</x:v>
      </x:c>
    </x:row>
    <x:row r="19" ht="42" customHeight="1">
      <x:c r="A19" s="214" t="str">
        <x:v>R-L-018</x:v>
      </x:c>
      <x:c r="B19" s="176" t="str">
        <x:v>Add UPB &gt; 0</x:v>
      </x:c>
      <x:c r="C19" s="176" t="str">
        <x:v>AddLoan</x:v>
      </x:c>
      <x:c r="D19" s="177" t="str">
        <x:v>API</x:v>
      </x:c>
      <x:c r="E19" s="178" t="str">
        <x:v>Numeric constraint</x:v>
      </x:c>
    </x:row>
    <x:row r="20" ht="42" customHeight="1">
      <x:c r="A20" s="218" t="str">
        <x:v>R-L-019</x:v>
      </x:c>
      <x:c r="B20" s="196" t="str">
        <x:v>Add property type domain</x:v>
      </x:c>
      <x:c r="C20" s="196" t="str">
        <x:v>AddLoan</x:v>
      </x:c>
      <x:c r="D20" s="197" t="str">
        <x:v>API</x:v>
      </x:c>
      <x:c r="E20" s="198" t="str">
        <x:v>RESIDENTIAL/COMMERCIAL</x:v>
      </x:c>
    </x:row>
    <x:row r="21" ht="42" customHeight="1">
      <x:c r="A21" s="214" t="str">
        <x:v>R-L-020</x:v>
      </x:c>
      <x:c r="B21" s="176" t="str">
        <x:v>Add loan-number uniqueness</x:v>
      </x:c>
      <x:c r="C21" s="176" t="str">
        <x:v>AddLoan</x:v>
      </x:c>
      <x:c r="D21" s="177" t="str">
        <x:v>DB</x:v>
      </x:c>
      <x:c r="E21" s="178" t="str">
        <x:v>PK uniqueness</x:v>
      </x:c>
    </x:row>
    <x:row r="22" ht="42" customHeight="1">
      <x:c r="A22" s="218" t="str">
        <x:v>R-L-021</x:v>
      </x:c>
      <x:c r="B22" s="196" t="str">
        <x:v>Loan number immutable on modify</x:v>
      </x:c>
      <x:c r="C22" s="196" t="str">
        <x:v>ModifyLoan</x:v>
      </x:c>
      <x:c r="D22" s="197" t="str">
        <x:v>API</x:v>
      </x:c>
      <x:c r="E22" s="198" t="str">
        <x:v>Immutable key</x:v>
      </x:c>
    </x:row>
    <x:row r="23" ht="42" customHeight="1">
      <x:c r="A23" s="214" t="str">
        <x:v>R-L-022</x:v>
      </x:c>
      <x:c r="B23" s="176" t="str">
        <x:v>Status transition sequence</x:v>
      </x:c>
      <x:c r="C23" s="176" t="str">
        <x:v>ModifyLoan</x:v>
      </x:c>
      <x:c r="D23" s="177" t="str">
        <x:v>API</x:v>
      </x:c>
      <x:c r="E23" s="178" t="str">
        <x:v>ACTIVE-&gt;DELINQUENT-&gt;CLOSED</x:v>
      </x:c>
    </x:row>
    <x:row r="24" ht="42" customHeight="1">
      <x:c r="A24" s="218" t="str">
        <x:v>R-L-023</x:v>
      </x:c>
      <x:c r="B24" s="196" t="str">
        <x:v>UPB cannot increase</x:v>
      </x:c>
      <x:c r="C24" s="196" t="str">
        <x:v>ModifyLoan</x:v>
      </x:c>
      <x:c r="D24" s="197" t="str">
        <x:v>API</x:v>
      </x:c>
      <x:c r="E24" s="198" t="str">
        <x:v>Compare against current</x:v>
      </x:c>
    </x:row>
    <x:row r="25" ht="42" customHeight="1">
      <x:c r="A25" s="214" t="str">
        <x:v>R-L-024</x:v>
      </x:c>
      <x:c r="B25" s="176" t="str">
        <x:v>Address cannot be cleared</x:v>
      </x:c>
      <x:c r="C25" s="176" t="str">
        <x:v>ModifyLoan</x:v>
      </x:c>
      <x:c r="D25" s="177" t="str">
        <x:v>API</x:v>
      </x:c>
      <x:c r="E25" s="178" t="str">
        <x:v>Non-empty on change</x:v>
      </x:c>
    </x:row>
    <x:row r="26" ht="42" customHeight="1">
      <x:c r="A26" s="220" t="str">
        <x:v>R-L-025</x:v>
      </x:c>
      <x:c r="B26" s="206" t="str">
        <x:v>Mnemonic must resolve</x:v>
      </x:c>
      <x:c r="C26" s="206" t="str">
        <x:v>SearchLoans/AddLoan/ModifyLoan/Dispatch14ENotification</x:v>
      </x:c>
      <x:c r="D26" s="207" t="str">
        <x:v>API</x:v>
      </x:c>
      <x:c r="E26" s="208" t="str">
        <x:v>Route configuration precondition</x:v>
      </x:c>
    </x:row>
  </x:sheetData>
  <x:conditionalFormatting sqref="D2:D26">
    <x:cfRule type="containsText" dxfId="5" priority="1" operator="containsText" text="UI + API"/>
    <x:cfRule type="containsText" dxfId="6" priority="2" operator="containsText" text="DB"/>
    <x:cfRule type="containsText" dxfId="7" priority="3" operator="containsText" text="External"/>
  </x:conditionalFormatting>
  <x:dataValidations count="1">
    <x:dataValidation type="list" allowBlank="1" showDropDown="0" sqref="D2:D26">
      <x:formula1>"UI,API,UI + API,DB,External"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85d89bf4ac401d"/>
  </x:tableParts>
</x:worksheet>
</file>